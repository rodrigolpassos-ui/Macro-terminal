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dri\OneDrive\Desktop\Fluxo B3\"/>
    </mc:Choice>
  </mc:AlternateContent>
  <xr:revisionPtr revIDLastSave="0" documentId="13_ncr:1_{0E9CD7BD-171B-4B82-8628-A4547F04DF7D}" xr6:coauthVersionLast="47" xr6:coauthVersionMax="47" xr10:uidLastSave="{00000000-0000-0000-0000-000000000000}"/>
  <bookViews>
    <workbookView xWindow="45" yWindow="-16320" windowWidth="29040" windowHeight="15720" tabRatio="500" activeTab="2" xr2:uid="{00000000-000D-0000-FFFF-FFFF00000000}"/>
  </bookViews>
  <sheets>
    <sheet name="Cadastro Corretoras" sheetId="1" r:id="rId1"/>
    <sheet name="Dados a ser Importados" sheetId="2" r:id="rId2"/>
    <sheet name="Entrada de Dados" sheetId="3" r:id="rId3"/>
    <sheet name="Resumo por Grupo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3" i="3" l="1"/>
  <c r="F43" i="3" s="1"/>
  <c r="E42" i="3"/>
  <c r="F42" i="3" s="1"/>
  <c r="F41" i="3"/>
  <c r="E41" i="3"/>
  <c r="E40" i="3"/>
  <c r="F40" i="3" s="1"/>
  <c r="E39" i="3"/>
  <c r="F39" i="3" s="1"/>
  <c r="F38" i="3"/>
  <c r="E38" i="3"/>
  <c r="E37" i="3"/>
  <c r="F37" i="3" s="1"/>
  <c r="E36" i="3"/>
  <c r="F36" i="3" s="1"/>
  <c r="E35" i="3"/>
  <c r="F35" i="3" s="1"/>
  <c r="E34" i="3"/>
  <c r="F34" i="3" s="1"/>
  <c r="E33" i="3"/>
  <c r="F33" i="3" s="1"/>
  <c r="E32" i="3"/>
  <c r="F32" i="3" s="1"/>
  <c r="E31" i="3"/>
  <c r="F31" i="3" s="1"/>
  <c r="E30" i="3"/>
  <c r="F30" i="3" s="1"/>
  <c r="E29" i="3"/>
  <c r="F29" i="3" s="1"/>
  <c r="E28" i="3"/>
  <c r="F28" i="3" s="1"/>
  <c r="E27" i="3"/>
  <c r="F27" i="3" s="1"/>
  <c r="E26" i="3"/>
  <c r="F26" i="3" s="1"/>
  <c r="E25" i="3"/>
  <c r="F25" i="3" s="1"/>
  <c r="E24" i="3"/>
  <c r="F24" i="3" s="1"/>
  <c r="E23" i="3"/>
  <c r="F23" i="3" s="1"/>
  <c r="E22" i="3"/>
  <c r="F22" i="3" s="1"/>
  <c r="E21" i="3"/>
  <c r="F21" i="3" s="1"/>
  <c r="E20" i="3"/>
  <c r="F20" i="3" s="1"/>
  <c r="E19" i="3"/>
  <c r="F19" i="3" s="1"/>
  <c r="E18" i="3"/>
  <c r="F18" i="3" s="1"/>
  <c r="E17" i="3"/>
  <c r="F17" i="3" s="1"/>
  <c r="E16" i="3"/>
  <c r="F16" i="3" s="1"/>
  <c r="E15" i="3"/>
  <c r="F15" i="3" s="1"/>
  <c r="E14" i="3"/>
  <c r="F14" i="3" s="1"/>
  <c r="E13" i="3"/>
  <c r="F13" i="3" s="1"/>
  <c r="E12" i="3"/>
  <c r="F12" i="3" s="1"/>
  <c r="E11" i="3"/>
  <c r="F11" i="3" s="1"/>
  <c r="E10" i="3"/>
  <c r="F10" i="3" s="1"/>
  <c r="E9" i="3"/>
  <c r="F9" i="3" s="1"/>
  <c r="E8" i="3"/>
  <c r="F8" i="3" s="1"/>
  <c r="E7" i="3"/>
  <c r="F7" i="3" s="1"/>
  <c r="E6" i="3"/>
  <c r="F6" i="3" s="1"/>
  <c r="E5" i="3"/>
  <c r="F5" i="3" s="1"/>
  <c r="E4" i="3"/>
  <c r="F4" i="3" s="1"/>
  <c r="H6" i="4" l="1"/>
  <c r="C6" i="4" s="1"/>
  <c r="H3" i="4"/>
  <c r="C3" i="4" s="1"/>
  <c r="G3" i="4"/>
  <c r="G6" i="4"/>
  <c r="H5" i="4"/>
  <c r="C5" i="4" s="1"/>
  <c r="G5" i="4"/>
  <c r="G4" i="4"/>
  <c r="H4" i="4"/>
  <c r="C4" i="4" s="1"/>
  <c r="I5" i="4" l="1"/>
  <c r="B5" i="4"/>
  <c r="I6" i="4"/>
  <c r="B6" i="4"/>
  <c r="I4" i="4"/>
  <c r="B4" i="4"/>
  <c r="B3" i="4"/>
  <c r="I3" i="4"/>
  <c r="F4" i="4" l="1"/>
  <c r="E4" i="4"/>
  <c r="D4" i="4"/>
  <c r="F3" i="4"/>
  <c r="E3" i="4"/>
  <c r="D3" i="4"/>
  <c r="F6" i="4"/>
  <c r="E6" i="4"/>
  <c r="D6" i="4"/>
  <c r="D5" i="4"/>
  <c r="E5" i="4"/>
  <c r="F5" i="4"/>
</calcChain>
</file>

<file path=xl/sharedStrings.xml><?xml version="1.0" encoding="utf-8"?>
<sst xmlns="http://schemas.openxmlformats.org/spreadsheetml/2006/main" count="196" uniqueCount="108">
  <si>
    <t>CADASTRO DE CORRETORAS — CLASSIFICAÇÃO POR PARTICIPANTE</t>
  </si>
  <si>
    <t>Corretora</t>
  </si>
  <si>
    <t>Categoria</t>
  </si>
  <si>
    <t>Descrição / Observação</t>
  </si>
  <si>
    <t>Ativa?</t>
  </si>
  <si>
    <t>Barclays</t>
  </si>
  <si>
    <t>Estrangeiro</t>
  </si>
  <si>
    <t>Banco britânico</t>
  </si>
  <si>
    <t>SIM</t>
  </si>
  <si>
    <t>BNP</t>
  </si>
  <si>
    <t>BANCO BNP PARIBAS BRASIL S/A</t>
  </si>
  <si>
    <t>Citibank</t>
  </si>
  <si>
    <t>Citibank DTVM S.A.</t>
  </si>
  <si>
    <t>Credit</t>
  </si>
  <si>
    <t>CREDIT SUISSE BRASIL S.A. CTVM</t>
  </si>
  <si>
    <t>Deutsche</t>
  </si>
  <si>
    <t>DEUTSCHE BANK-CV S/A</t>
  </si>
  <si>
    <t>Goldman</t>
  </si>
  <si>
    <t>GOLDMAN SACHS DO BRASIL CTVM</t>
  </si>
  <si>
    <t>HSBC</t>
  </si>
  <si>
    <t>JP Morgan</t>
  </si>
  <si>
    <t>J. P. MORGAN CCVM S.A.</t>
  </si>
  <si>
    <t>Macquarie</t>
  </si>
  <si>
    <t>Banco australiano</t>
  </si>
  <si>
    <t>Merrill</t>
  </si>
  <si>
    <t>MERRILL LYNCH S/A CTVM</t>
  </si>
  <si>
    <t>Morgan</t>
  </si>
  <si>
    <t>MORGAN STANLEY CTVM S/A</t>
  </si>
  <si>
    <t>Nomura</t>
  </si>
  <si>
    <t>Banco japonês</t>
  </si>
  <si>
    <t>Société Générale</t>
  </si>
  <si>
    <t>Banco francês</t>
  </si>
  <si>
    <t>Tullett</t>
  </si>
  <si>
    <t>TULLETT PREBON</t>
  </si>
  <si>
    <t>UBS</t>
  </si>
  <si>
    <t>UBS BRASIL CCTVM S/A</t>
  </si>
  <si>
    <t>ABN</t>
  </si>
  <si>
    <t>Institucional</t>
  </si>
  <si>
    <t>ABN AMRO CORRETORA DE TITULOS</t>
  </si>
  <si>
    <t>BB</t>
  </si>
  <si>
    <t>Banco do Brasil S.A.</t>
  </si>
  <si>
    <t>Bradesco</t>
  </si>
  <si>
    <t>BRADESCO S/A CTVM</t>
  </si>
  <si>
    <t>BTG</t>
  </si>
  <si>
    <t>BTG Pactual CTVM S.A.</t>
  </si>
  <si>
    <t>C6</t>
  </si>
  <si>
    <t>C6 CTVM LTDA</t>
  </si>
  <si>
    <t>Caixa</t>
  </si>
  <si>
    <t>Banco público brasileiro</t>
  </si>
  <si>
    <t>Citigroup</t>
  </si>
  <si>
    <t>CITIGROUP GMB CCTVM S.A.</t>
  </si>
  <si>
    <t>Inter</t>
  </si>
  <si>
    <t>INTER DTVM LTDA</t>
  </si>
  <si>
    <t>Itau</t>
  </si>
  <si>
    <t>ITAU CV S/A</t>
  </si>
  <si>
    <t>Mirae</t>
  </si>
  <si>
    <t>MIRAE ASSET WEALTH MANAGEMENT</t>
  </si>
  <si>
    <t>Santander</t>
  </si>
  <si>
    <t>SANTANDER CORRETORA DE TITULOS</t>
  </si>
  <si>
    <t>Santander Institucional</t>
  </si>
  <si>
    <t>SANTANDER CCVM S/A</t>
  </si>
  <si>
    <t>Agora</t>
  </si>
  <si>
    <t>Pessoa Física</t>
  </si>
  <si>
    <t>AGORA CTVM S/A</t>
  </si>
  <si>
    <t>Ativa</t>
  </si>
  <si>
    <t>ATIVA INVESTIMENTOS S.A. CTCV</t>
  </si>
  <si>
    <t>BGC Liquidez</t>
  </si>
  <si>
    <t>BGC LIQUIDEZ DTVM</t>
  </si>
  <si>
    <t>CM Capital</t>
  </si>
  <si>
    <t>CM Capital Markets CCTVM LTDA</t>
  </si>
  <si>
    <t>Elliot-Warren</t>
  </si>
  <si>
    <t>Genial</t>
  </si>
  <si>
    <t>GENIAL INSTITUCIONAL CCTVM S.</t>
  </si>
  <si>
    <t>Ideal</t>
  </si>
  <si>
    <t>IDEAL CTVM SA</t>
  </si>
  <si>
    <t>LEV</t>
  </si>
  <si>
    <t>LEV DTVM LTDA</t>
  </si>
  <si>
    <t>Necton</t>
  </si>
  <si>
    <t>NECTON INVESTIMENTOS S.A. CVMC</t>
  </si>
  <si>
    <t>Nova Futura</t>
  </si>
  <si>
    <t>NOVA FUTURA CTVM LTDA</t>
  </si>
  <si>
    <t>Safra</t>
  </si>
  <si>
    <t>SAFRA CVC LTDA.</t>
  </si>
  <si>
    <t>Terra</t>
  </si>
  <si>
    <t>TERRA INVESTIMENTOS DTVM LTDA</t>
  </si>
  <si>
    <t>XP</t>
  </si>
  <si>
    <t>XP Investimentos CCTVM S.A.</t>
  </si>
  <si>
    <t>Outros</t>
  </si>
  <si>
    <t>⚠️  Edite a coluna 'Categoria' conforme necessário. Essa tabela é referenciada na aba 'Entrada de Dados'.</t>
  </si>
  <si>
    <t>%</t>
  </si>
  <si>
    <t>Vol. Qtd</t>
  </si>
  <si>
    <t>ENTRADA DE DADOS — Cole aqui os dados do Profit Pro</t>
  </si>
  <si>
    <t>→  Cole as colunas: Corretora | % | Vol. Financeiro | Vol. Qtd   (separadas por Tab, direto do Excel do Profit Pro)</t>
  </si>
  <si>
    <t>Vol. Financeiro (R$)</t>
  </si>
  <si>
    <t>Grupo Calc.</t>
  </si>
  <si>
    <t>RESUMO — FLUXO POR CATEGORIA DE PARTICIPANTE</t>
  </si>
  <si>
    <t>Compra (R$)</t>
  </si>
  <si>
    <t>Venda (R$)</t>
  </si>
  <si>
    <t>Saldo Líq. (R$)</t>
  </si>
  <si>
    <t>% do Total</t>
  </si>
  <si>
    <t>Posição</t>
  </si>
  <si>
    <t>_raw_compra</t>
  </si>
  <si>
    <t>_raw_venda</t>
  </si>
  <si>
    <t>_raw_saldo</t>
  </si>
  <si>
    <t>ℹ️  Os valores acima são calculados automaticamente a partir da aba 'Entrada de Dados'. Cole os dados do Profit Pro naquela aba e volte aqui para ver o resumo.</t>
  </si>
  <si>
    <t>DOLAR</t>
  </si>
  <si>
    <t>INDICE</t>
  </si>
  <si>
    <t>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</si>
</sst>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5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C0392B"/>
      <name val="Arial"/>
      <charset val="1"/>
    </font>
    <font>
      <b/>
      <sz val="9"/>
      <color rgb="FF1D6FA8"/>
      <name val="Arial"/>
      <charset val="1"/>
    </font>
    <font>
      <b/>
      <sz val="9"/>
      <color rgb="FF27AE60"/>
      <name val="Arial"/>
      <charset val="1"/>
    </font>
    <font>
      <b/>
      <sz val="9"/>
      <color rgb="FF7F8C8D"/>
      <name val="Arial"/>
      <charset val="1"/>
    </font>
    <font>
      <i/>
      <sz val="8"/>
      <color rgb="FF888888"/>
      <name val="Arial"/>
      <charset val="1"/>
    </font>
    <font>
      <i/>
      <sz val="9"/>
      <color rgb="FF555555"/>
      <name val="Arial"/>
      <charset val="1"/>
    </font>
    <font>
      <sz val="9"/>
      <color rgb="FF0000FF"/>
      <name val="Arial"/>
      <charset val="1"/>
    </font>
    <font>
      <b/>
      <sz val="10"/>
      <color rgb="FFC0392B"/>
      <name val="Arial"/>
      <charset val="1"/>
    </font>
    <font>
      <b/>
      <sz val="10"/>
      <color rgb="FF1D6FA8"/>
      <name val="Arial"/>
      <charset val="1"/>
    </font>
    <font>
      <b/>
      <sz val="10"/>
      <color rgb="FF27AE60"/>
      <name val="Arial"/>
      <charset val="1"/>
    </font>
    <font>
      <b/>
      <sz val="10"/>
      <color rgb="FF7F8C8D"/>
      <name val="Arial"/>
      <charset val="1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C0392B"/>
      <name val="Calibri"/>
    </font>
    <font>
      <sz val="11"/>
      <color rgb="FF1D6FA8"/>
      <name val="Calibri"/>
    </font>
    <font>
      <sz val="11"/>
      <color rgb="FF27AE60"/>
      <name val="Calibri"/>
    </font>
    <font>
      <sz val="11"/>
      <color rgb="FF7F8C8D"/>
      <name val="Calibri"/>
    </font>
    <font>
      <b/>
      <sz val="11"/>
      <color rgb="FFC0392B"/>
      <name val="Calibri"/>
    </font>
    <font>
      <b/>
      <sz val="11"/>
      <color rgb="FF1D6FA8"/>
      <name val="Calibri"/>
    </font>
    <font>
      <b/>
      <sz val="11"/>
      <color rgb="FF27AE60"/>
      <name val="Calibri"/>
    </font>
    <font>
      <b/>
      <sz val="11"/>
      <color rgb="FF7F8C8D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2C3E50"/>
        <bgColor rgb="FF333399"/>
      </patternFill>
    </fill>
    <fill>
      <patternFill patternType="solid">
        <fgColor rgb="FFFADBD8"/>
        <bgColor rgb="FFF2F3F4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2F3F4"/>
        <bgColor rgb="FFF7F7F7"/>
      </patternFill>
    </fill>
    <fill>
      <patternFill patternType="solid">
        <fgColor rgb="FFF8F9FA"/>
        <bgColor rgb="FFF7F7F7"/>
      </patternFill>
    </fill>
    <fill>
      <patternFill patternType="solid">
        <fgColor rgb="FFFFFFFF"/>
        <bgColor rgb="FFF8F9FA"/>
      </patternFill>
    </fill>
    <fill>
      <patternFill patternType="solid">
        <fgColor rgb="FFF7F7F7"/>
        <bgColor rgb="FFF8F9FA"/>
      </patternFill>
    </fill>
    <fill>
      <patternFill patternType="solid">
        <fgColor rgb="FFD5F5E3"/>
      </patternFill>
    </fill>
    <fill>
      <patternFill patternType="solid">
        <fgColor rgb="FFFADBD8"/>
      </patternFill>
    </fill>
    <fill>
      <patternFill patternType="solid">
        <fgColor rgb="FFD6EAF8"/>
      </patternFill>
    </fill>
    <fill>
      <patternFill patternType="solid">
        <fgColor rgb="FFF2F3F4"/>
      </patternFill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0" borderId="0" xfId="0" applyFont="1"/>
    <xf numFmtId="0" fontId="3" fillId="10" borderId="1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indent="1"/>
    </xf>
    <xf numFmtId="164" fontId="10" fillId="4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indent="1"/>
    </xf>
    <xf numFmtId="164" fontId="10" fillId="5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 indent="1"/>
    </xf>
    <xf numFmtId="164" fontId="10" fillId="6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 indent="1"/>
    </xf>
    <xf numFmtId="164" fontId="10" fillId="7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 indent="1"/>
    </xf>
    <xf numFmtId="0" fontId="5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 indent="1"/>
    </xf>
    <xf numFmtId="0" fontId="5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 indent="1"/>
    </xf>
    <xf numFmtId="0" fontId="5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 indent="1"/>
    </xf>
    <xf numFmtId="0" fontId="7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center" vertical="center"/>
    </xf>
    <xf numFmtId="0" fontId="0" fillId="0" borderId="0" xfId="0"/>
    <xf numFmtId="0" fontId="8" fillId="0" borderId="0" xfId="0" applyFont="1"/>
    <xf numFmtId="3" fontId="0" fillId="0" borderId="0" xfId="0" applyNumberFormat="1"/>
    <xf numFmtId="0" fontId="15" fillId="15" borderId="0" xfId="0" applyFont="1" applyFill="1" applyAlignment="1">
      <alignment horizontal="center"/>
    </xf>
    <xf numFmtId="0" fontId="17" fillId="12" borderId="1" xfId="0" applyFont="1" applyFill="1" applyBorder="1" applyAlignment="1">
      <alignment horizontal="right"/>
    </xf>
    <xf numFmtId="3" fontId="16" fillId="4" borderId="0" xfId="0" applyNumberFormat="1" applyFont="1" applyFill="1" applyAlignment="1">
      <alignment horizontal="right"/>
    </xf>
    <xf numFmtId="0" fontId="18" fillId="13" borderId="1" xfId="0" applyFont="1" applyFill="1" applyBorder="1" applyAlignment="1">
      <alignment horizontal="right"/>
    </xf>
    <xf numFmtId="3" fontId="16" fillId="5" borderId="0" xfId="0" applyNumberFormat="1" applyFont="1" applyFill="1" applyAlignment="1">
      <alignment horizontal="right"/>
    </xf>
    <xf numFmtId="0" fontId="19" fillId="11" borderId="1" xfId="0" applyFont="1" applyFill="1" applyBorder="1" applyAlignment="1">
      <alignment horizontal="right"/>
    </xf>
    <xf numFmtId="3" fontId="16" fillId="6" borderId="0" xfId="0" applyNumberFormat="1" applyFont="1" applyFill="1" applyAlignment="1">
      <alignment horizontal="right"/>
    </xf>
    <xf numFmtId="0" fontId="20" fillId="14" borderId="1" xfId="0" applyFont="1" applyFill="1" applyBorder="1" applyAlignment="1">
      <alignment horizontal="right"/>
    </xf>
    <xf numFmtId="3" fontId="16" fillId="7" borderId="0" xfId="0" applyNumberFormat="1" applyFont="1" applyFill="1" applyAlignment="1">
      <alignment horizontal="right"/>
    </xf>
    <xf numFmtId="0" fontId="21" fillId="4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0" borderId="0" xfId="0" applyFont="1"/>
    <xf numFmtId="0" fontId="9" fillId="8" borderId="0" xfId="0" applyFont="1" applyFill="1" applyAlignment="1">
      <alignment horizontal="left" vertical="center" inden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08080"/>
      <rgbColor rgb="FFBDBDBD"/>
      <rgbColor rgb="FF888888"/>
      <rgbColor rgb="FF9999FF"/>
      <rgbColor rgb="FF993366"/>
      <rgbColor rgb="FFFEF9E7"/>
      <rgbColor rgb="FFD6EAF8"/>
      <rgbColor rgb="FF660066"/>
      <rgbColor rgb="FFFF8080"/>
      <rgbColor rgb="FF1D6FA8"/>
      <rgbColor rgb="FFF8F9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7F7F7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55555"/>
      <rgbColor rgb="FF7F8C8D"/>
      <rgbColor rgb="FF003366"/>
      <rgbColor rgb="FF27AE60"/>
      <rgbColor rgb="FF003300"/>
      <rgbColor rgb="FF1A1A2E"/>
      <rgbColor rgb="FFC0392B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showGridLines="0" zoomScaleNormal="100" workbookViewId="0">
      <pane ySplit="2" topLeftCell="A3" activePane="bottomLeft" state="frozen"/>
      <selection pane="bottomLeft" sqref="A1:D1"/>
    </sheetView>
  </sheetViews>
  <sheetFormatPr defaultColWidth="8.7109375" defaultRowHeight="15" x14ac:dyDescent="0.25"/>
  <cols>
    <col min="1" max="1" width="26" style="36" customWidth="1"/>
    <col min="2" max="2" width="16" style="36" customWidth="1"/>
    <col min="3" max="3" width="45" style="36" customWidth="1"/>
    <col min="4" max="4" width="9" style="36" customWidth="1"/>
  </cols>
  <sheetData>
    <row r="1" spans="1:4" ht="27.75" customHeight="1" x14ac:dyDescent="0.25">
      <c r="A1" s="52" t="s">
        <v>0</v>
      </c>
      <c r="B1" s="53"/>
      <c r="C1" s="53"/>
      <c r="D1" s="53"/>
    </row>
    <row r="2" spans="1:4" ht="19.5" customHeight="1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15.75" customHeight="1" x14ac:dyDescent="0.25">
      <c r="A3" s="22" t="s">
        <v>5</v>
      </c>
      <c r="B3" s="26" t="s">
        <v>6</v>
      </c>
      <c r="C3" s="24" t="s">
        <v>7</v>
      </c>
      <c r="D3" s="25" t="s">
        <v>8</v>
      </c>
    </row>
    <row r="4" spans="1:4" ht="15.75" customHeight="1" x14ac:dyDescent="0.25">
      <c r="A4" s="22" t="s">
        <v>9</v>
      </c>
      <c r="B4" s="26" t="s">
        <v>6</v>
      </c>
      <c r="C4" s="24" t="s">
        <v>10</v>
      </c>
      <c r="D4" s="25" t="s">
        <v>8</v>
      </c>
    </row>
    <row r="5" spans="1:4" ht="15.75" customHeight="1" x14ac:dyDescent="0.25">
      <c r="A5" s="22" t="s">
        <v>11</v>
      </c>
      <c r="B5" s="26" t="s">
        <v>6</v>
      </c>
      <c r="C5" s="24" t="s">
        <v>12</v>
      </c>
      <c r="D5" s="25" t="s">
        <v>8</v>
      </c>
    </row>
    <row r="6" spans="1:4" ht="15.75" customHeight="1" x14ac:dyDescent="0.25">
      <c r="A6" s="22" t="s">
        <v>13</v>
      </c>
      <c r="B6" s="26" t="s">
        <v>6</v>
      </c>
      <c r="C6" s="24" t="s">
        <v>14</v>
      </c>
      <c r="D6" s="25" t="s">
        <v>8</v>
      </c>
    </row>
    <row r="7" spans="1:4" ht="15.75" customHeight="1" x14ac:dyDescent="0.25">
      <c r="A7" s="22" t="s">
        <v>15</v>
      </c>
      <c r="B7" s="26" t="s">
        <v>6</v>
      </c>
      <c r="C7" s="24" t="s">
        <v>16</v>
      </c>
      <c r="D7" s="25" t="s">
        <v>8</v>
      </c>
    </row>
    <row r="8" spans="1:4" ht="15.75" customHeight="1" x14ac:dyDescent="0.25">
      <c r="A8" s="22" t="s">
        <v>17</v>
      </c>
      <c r="B8" s="26" t="s">
        <v>6</v>
      </c>
      <c r="C8" s="24" t="s">
        <v>18</v>
      </c>
      <c r="D8" s="25" t="s">
        <v>8</v>
      </c>
    </row>
    <row r="9" spans="1:4" ht="15.75" customHeight="1" x14ac:dyDescent="0.25">
      <c r="A9" s="22" t="s">
        <v>19</v>
      </c>
      <c r="B9" s="26" t="s">
        <v>6</v>
      </c>
      <c r="C9" s="24" t="s">
        <v>7</v>
      </c>
      <c r="D9" s="25" t="s">
        <v>8</v>
      </c>
    </row>
    <row r="10" spans="1:4" ht="15.75" customHeight="1" x14ac:dyDescent="0.25">
      <c r="A10" s="22" t="s">
        <v>20</v>
      </c>
      <c r="B10" s="26" t="s">
        <v>6</v>
      </c>
      <c r="C10" s="24" t="s">
        <v>21</v>
      </c>
      <c r="D10" s="25" t="s">
        <v>8</v>
      </c>
    </row>
    <row r="11" spans="1:4" ht="15.75" customHeight="1" x14ac:dyDescent="0.25">
      <c r="A11" s="22" t="s">
        <v>22</v>
      </c>
      <c r="B11" s="26" t="s">
        <v>6</v>
      </c>
      <c r="C11" s="24" t="s">
        <v>23</v>
      </c>
      <c r="D11" s="25" t="s">
        <v>8</v>
      </c>
    </row>
    <row r="12" spans="1:4" ht="15.75" customHeight="1" x14ac:dyDescent="0.25">
      <c r="A12" s="22" t="s">
        <v>24</v>
      </c>
      <c r="B12" s="26" t="s">
        <v>6</v>
      </c>
      <c r="C12" s="24" t="s">
        <v>25</v>
      </c>
      <c r="D12" s="25" t="s">
        <v>8</v>
      </c>
    </row>
    <row r="13" spans="1:4" ht="15.75" customHeight="1" x14ac:dyDescent="0.25">
      <c r="A13" s="22" t="s">
        <v>26</v>
      </c>
      <c r="B13" s="26" t="s">
        <v>6</v>
      </c>
      <c r="C13" s="24" t="s">
        <v>27</v>
      </c>
      <c r="D13" s="25" t="s">
        <v>8</v>
      </c>
    </row>
    <row r="14" spans="1:4" ht="15.75" customHeight="1" x14ac:dyDescent="0.25">
      <c r="A14" s="22" t="s">
        <v>28</v>
      </c>
      <c r="B14" s="26" t="s">
        <v>6</v>
      </c>
      <c r="C14" s="24" t="s">
        <v>29</v>
      </c>
      <c r="D14" s="25" t="s">
        <v>8</v>
      </c>
    </row>
    <row r="15" spans="1:4" ht="15.75" customHeight="1" x14ac:dyDescent="0.25">
      <c r="A15" s="22" t="s">
        <v>30</v>
      </c>
      <c r="B15" s="26" t="s">
        <v>6</v>
      </c>
      <c r="C15" s="24" t="s">
        <v>31</v>
      </c>
      <c r="D15" s="25" t="s">
        <v>8</v>
      </c>
    </row>
    <row r="16" spans="1:4" ht="15.75" customHeight="1" x14ac:dyDescent="0.25">
      <c r="A16" s="22" t="s">
        <v>32</v>
      </c>
      <c r="B16" s="23" t="s">
        <v>6</v>
      </c>
      <c r="C16" s="24" t="s">
        <v>33</v>
      </c>
      <c r="D16" s="25" t="s">
        <v>8</v>
      </c>
    </row>
    <row r="17" spans="1:4" ht="15.75" customHeight="1" x14ac:dyDescent="0.25">
      <c r="A17" s="22" t="s">
        <v>34</v>
      </c>
      <c r="B17" s="26" t="s">
        <v>6</v>
      </c>
      <c r="C17" s="24" t="s">
        <v>35</v>
      </c>
      <c r="D17" s="25" t="s">
        <v>8</v>
      </c>
    </row>
    <row r="18" spans="1:4" ht="15.75" customHeight="1" x14ac:dyDescent="0.25">
      <c r="A18" s="27" t="s">
        <v>36</v>
      </c>
      <c r="B18" s="28" t="s">
        <v>37</v>
      </c>
      <c r="C18" s="29" t="s">
        <v>38</v>
      </c>
      <c r="D18" s="30" t="s">
        <v>8</v>
      </c>
    </row>
    <row r="19" spans="1:4" ht="15.75" customHeight="1" x14ac:dyDescent="0.25">
      <c r="A19" s="27" t="s">
        <v>39</v>
      </c>
      <c r="B19" s="28" t="s">
        <v>37</v>
      </c>
      <c r="C19" s="29" t="s">
        <v>40</v>
      </c>
      <c r="D19" s="30" t="s">
        <v>8</v>
      </c>
    </row>
    <row r="20" spans="1:4" ht="15.75" customHeight="1" x14ac:dyDescent="0.25">
      <c r="A20" s="27" t="s">
        <v>41</v>
      </c>
      <c r="B20" s="28" t="s">
        <v>37</v>
      </c>
      <c r="C20" s="29" t="s">
        <v>42</v>
      </c>
      <c r="D20" s="30" t="s">
        <v>8</v>
      </c>
    </row>
    <row r="21" spans="1:4" ht="15.75" customHeight="1" x14ac:dyDescent="0.25">
      <c r="A21" s="27" t="s">
        <v>43</v>
      </c>
      <c r="B21" s="28" t="s">
        <v>37</v>
      </c>
      <c r="C21" s="29" t="s">
        <v>44</v>
      </c>
      <c r="D21" s="30" t="s">
        <v>8</v>
      </c>
    </row>
    <row r="22" spans="1:4" ht="15.75" customHeight="1" x14ac:dyDescent="0.25">
      <c r="A22" s="27" t="s">
        <v>45</v>
      </c>
      <c r="B22" s="28" t="s">
        <v>37</v>
      </c>
      <c r="C22" s="29" t="s">
        <v>46</v>
      </c>
      <c r="D22" s="30" t="s">
        <v>8</v>
      </c>
    </row>
    <row r="23" spans="1:4" ht="15.75" customHeight="1" x14ac:dyDescent="0.25">
      <c r="A23" s="27" t="s">
        <v>47</v>
      </c>
      <c r="B23" s="28" t="s">
        <v>37</v>
      </c>
      <c r="C23" s="29" t="s">
        <v>48</v>
      </c>
      <c r="D23" s="30" t="s">
        <v>8</v>
      </c>
    </row>
    <row r="24" spans="1:4" ht="15.75" customHeight="1" x14ac:dyDescent="0.25">
      <c r="A24" s="27" t="s">
        <v>49</v>
      </c>
      <c r="B24" s="28" t="s">
        <v>37</v>
      </c>
      <c r="C24" s="29" t="s">
        <v>50</v>
      </c>
      <c r="D24" s="30" t="s">
        <v>8</v>
      </c>
    </row>
    <row r="25" spans="1:4" ht="15.75" customHeight="1" x14ac:dyDescent="0.25">
      <c r="A25" s="27" t="s">
        <v>51</v>
      </c>
      <c r="B25" s="28" t="s">
        <v>37</v>
      </c>
      <c r="C25" s="29" t="s">
        <v>52</v>
      </c>
      <c r="D25" s="30" t="s">
        <v>8</v>
      </c>
    </row>
    <row r="26" spans="1:4" ht="15.75" customHeight="1" x14ac:dyDescent="0.25">
      <c r="A26" s="27" t="s">
        <v>53</v>
      </c>
      <c r="B26" s="28" t="s">
        <v>37</v>
      </c>
      <c r="C26" s="29" t="s">
        <v>54</v>
      </c>
      <c r="D26" s="30" t="s">
        <v>8</v>
      </c>
    </row>
    <row r="27" spans="1:4" ht="15.75" customHeight="1" x14ac:dyDescent="0.25">
      <c r="A27" s="27" t="s">
        <v>55</v>
      </c>
      <c r="B27" s="28" t="s">
        <v>37</v>
      </c>
      <c r="C27" s="29" t="s">
        <v>56</v>
      </c>
      <c r="D27" s="30" t="s">
        <v>8</v>
      </c>
    </row>
    <row r="28" spans="1:4" ht="15.75" customHeight="1" x14ac:dyDescent="0.25">
      <c r="A28" s="27" t="s">
        <v>57</v>
      </c>
      <c r="B28" s="28" t="s">
        <v>37</v>
      </c>
      <c r="C28" s="29" t="s">
        <v>58</v>
      </c>
      <c r="D28" s="30" t="s">
        <v>8</v>
      </c>
    </row>
    <row r="29" spans="1:4" ht="15.75" customHeight="1" x14ac:dyDescent="0.25">
      <c r="A29" s="27" t="s">
        <v>59</v>
      </c>
      <c r="B29" s="28" t="s">
        <v>37</v>
      </c>
      <c r="C29" s="29" t="s">
        <v>60</v>
      </c>
      <c r="D29" s="30" t="s">
        <v>8</v>
      </c>
    </row>
    <row r="30" spans="1:4" ht="15.75" customHeight="1" x14ac:dyDescent="0.25">
      <c r="A30" s="18" t="s">
        <v>61</v>
      </c>
      <c r="B30" s="31" t="s">
        <v>62</v>
      </c>
      <c r="C30" s="20" t="s">
        <v>63</v>
      </c>
      <c r="D30" s="21" t="s">
        <v>8</v>
      </c>
    </row>
    <row r="31" spans="1:4" ht="15.75" customHeight="1" x14ac:dyDescent="0.25">
      <c r="A31" s="18" t="s">
        <v>64</v>
      </c>
      <c r="B31" s="19" t="s">
        <v>62</v>
      </c>
      <c r="C31" s="20" t="s">
        <v>65</v>
      </c>
      <c r="D31" s="21" t="s">
        <v>8</v>
      </c>
    </row>
    <row r="32" spans="1:4" ht="15.75" customHeight="1" x14ac:dyDescent="0.25">
      <c r="A32" s="18" t="s">
        <v>66</v>
      </c>
      <c r="B32" s="31" t="s">
        <v>62</v>
      </c>
      <c r="C32" s="20" t="s">
        <v>67</v>
      </c>
      <c r="D32" s="21" t="s">
        <v>8</v>
      </c>
    </row>
    <row r="33" spans="1:4" ht="15.75" customHeight="1" x14ac:dyDescent="0.25">
      <c r="A33" s="18" t="s">
        <v>68</v>
      </c>
      <c r="B33" s="19" t="s">
        <v>62</v>
      </c>
      <c r="C33" s="20" t="s">
        <v>69</v>
      </c>
      <c r="D33" s="21" t="s">
        <v>8</v>
      </c>
    </row>
    <row r="34" spans="1:4" ht="15.75" customHeight="1" x14ac:dyDescent="0.25">
      <c r="A34" s="18" t="s">
        <v>70</v>
      </c>
      <c r="B34" s="31" t="s">
        <v>62</v>
      </c>
      <c r="C34" s="20" t="s">
        <v>70</v>
      </c>
      <c r="D34" s="21" t="s">
        <v>8</v>
      </c>
    </row>
    <row r="35" spans="1:4" ht="15.75" customHeight="1" x14ac:dyDescent="0.25">
      <c r="A35" s="18" t="s">
        <v>71</v>
      </c>
      <c r="B35" s="19" t="s">
        <v>62</v>
      </c>
      <c r="C35" s="20" t="s">
        <v>72</v>
      </c>
      <c r="D35" s="21" t="s">
        <v>8</v>
      </c>
    </row>
    <row r="36" spans="1:4" ht="15.75" customHeight="1" x14ac:dyDescent="0.25">
      <c r="A36" s="18" t="s">
        <v>73</v>
      </c>
      <c r="B36" s="31" t="s">
        <v>62</v>
      </c>
      <c r="C36" s="20" t="s">
        <v>74</v>
      </c>
      <c r="D36" s="21" t="s">
        <v>8</v>
      </c>
    </row>
    <row r="37" spans="1:4" ht="15.75" customHeight="1" x14ac:dyDescent="0.25">
      <c r="A37" s="18" t="s">
        <v>75</v>
      </c>
      <c r="B37" s="31" t="s">
        <v>62</v>
      </c>
      <c r="C37" s="20" t="s">
        <v>76</v>
      </c>
      <c r="D37" s="21" t="s">
        <v>8</v>
      </c>
    </row>
    <row r="38" spans="1:4" ht="15.75" customHeight="1" x14ac:dyDescent="0.25">
      <c r="A38" s="18" t="s">
        <v>77</v>
      </c>
      <c r="B38" s="31" t="s">
        <v>62</v>
      </c>
      <c r="C38" s="20" t="s">
        <v>78</v>
      </c>
      <c r="D38" s="21" t="s">
        <v>8</v>
      </c>
    </row>
    <row r="39" spans="1:4" ht="15.75" customHeight="1" x14ac:dyDescent="0.25">
      <c r="A39" s="18" t="s">
        <v>79</v>
      </c>
      <c r="B39" s="31" t="s">
        <v>62</v>
      </c>
      <c r="C39" s="20" t="s">
        <v>80</v>
      </c>
      <c r="D39" s="21" t="s">
        <v>8</v>
      </c>
    </row>
    <row r="40" spans="1:4" ht="15.75" customHeight="1" x14ac:dyDescent="0.25">
      <c r="A40" s="18" t="s">
        <v>81</v>
      </c>
      <c r="B40" s="31" t="s">
        <v>62</v>
      </c>
      <c r="C40" s="20" t="s">
        <v>82</v>
      </c>
      <c r="D40" s="21" t="s">
        <v>8</v>
      </c>
    </row>
    <row r="41" spans="1:4" ht="15.75" customHeight="1" x14ac:dyDescent="0.25">
      <c r="A41" s="18" t="s">
        <v>83</v>
      </c>
      <c r="B41" s="19" t="s">
        <v>62</v>
      </c>
      <c r="C41" s="20" t="s">
        <v>84</v>
      </c>
      <c r="D41" s="21" t="s">
        <v>8</v>
      </c>
    </row>
    <row r="42" spans="1:4" ht="15.75" customHeight="1" x14ac:dyDescent="0.25">
      <c r="A42" s="18" t="s">
        <v>85</v>
      </c>
      <c r="B42" s="19" t="s">
        <v>62</v>
      </c>
      <c r="C42" s="20" t="s">
        <v>86</v>
      </c>
      <c r="D42" s="21" t="s">
        <v>8</v>
      </c>
    </row>
    <row r="43" spans="1:4" ht="15.75" customHeight="1" x14ac:dyDescent="0.25">
      <c r="A43" s="32" t="s">
        <v>17</v>
      </c>
      <c r="B43" s="33" t="s">
        <v>87</v>
      </c>
      <c r="C43" s="34" t="s">
        <v>18</v>
      </c>
      <c r="D43" s="35" t="s">
        <v>8</v>
      </c>
    </row>
    <row r="45" spans="1:4" ht="15" customHeight="1" x14ac:dyDescent="0.25">
      <c r="A45" s="54" t="s">
        <v>88</v>
      </c>
      <c r="B45" s="53"/>
      <c r="C45" s="53"/>
      <c r="D45" s="53"/>
    </row>
  </sheetData>
  <mergeCells count="2">
    <mergeCell ref="A1:D1"/>
    <mergeCell ref="A45:D4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6"/>
  <sheetViews>
    <sheetView workbookViewId="0">
      <selection activeCell="N15" sqref="N15"/>
    </sheetView>
  </sheetViews>
  <sheetFormatPr defaultRowHeight="15" x14ac:dyDescent="0.25"/>
  <cols>
    <col min="3" max="3" width="17.42578125" style="36" customWidth="1"/>
    <col min="11" max="11" width="15.85546875" customWidth="1"/>
    <col min="19" max="19" width="13.42578125" customWidth="1"/>
  </cols>
  <sheetData>
    <row r="1" spans="1:22" x14ac:dyDescent="0.25">
      <c r="C1"/>
    </row>
    <row r="2" spans="1:22" x14ac:dyDescent="0.25">
      <c r="A2" s="56" t="s">
        <v>105</v>
      </c>
      <c r="B2" s="56"/>
      <c r="C2" s="56"/>
      <c r="D2" s="56"/>
      <c r="H2" s="56" t="s">
        <v>106</v>
      </c>
      <c r="I2" s="56"/>
      <c r="J2" s="56"/>
      <c r="K2" s="56"/>
      <c r="L2" s="56"/>
      <c r="M2" s="56"/>
      <c r="Q2" s="56" t="s">
        <v>107</v>
      </c>
      <c r="R2" s="56"/>
      <c r="S2" s="56"/>
      <c r="T2" s="56"/>
      <c r="U2" s="56"/>
      <c r="V2" s="56"/>
    </row>
    <row r="3" spans="1:22" x14ac:dyDescent="0.25">
      <c r="C3" s="38"/>
      <c r="D3" s="38"/>
    </row>
    <row r="4" spans="1:22" x14ac:dyDescent="0.25">
      <c r="C4" s="38"/>
      <c r="D4" s="38"/>
    </row>
    <row r="5" spans="1:22" x14ac:dyDescent="0.25">
      <c r="C5" s="38"/>
      <c r="D5" s="38"/>
      <c r="K5" s="38"/>
      <c r="L5" s="38"/>
      <c r="S5" s="38"/>
      <c r="T5" s="38"/>
    </row>
    <row r="6" spans="1:22" x14ac:dyDescent="0.25">
      <c r="C6" s="38"/>
      <c r="D6" s="38"/>
      <c r="K6" s="38"/>
      <c r="L6" s="38"/>
      <c r="S6" s="38"/>
      <c r="T6" s="38"/>
    </row>
    <row r="7" spans="1:22" x14ac:dyDescent="0.25">
      <c r="C7" s="38"/>
      <c r="D7" s="38"/>
      <c r="K7" s="38"/>
      <c r="L7" s="38"/>
      <c r="S7" s="38"/>
      <c r="T7" s="38"/>
    </row>
    <row r="8" spans="1:22" x14ac:dyDescent="0.25">
      <c r="C8" s="38"/>
      <c r="D8" s="38"/>
      <c r="K8" s="38"/>
      <c r="L8" s="38"/>
      <c r="S8" s="38"/>
      <c r="T8" s="38"/>
    </row>
    <row r="9" spans="1:22" x14ac:dyDescent="0.25">
      <c r="C9" s="38"/>
      <c r="K9" s="38"/>
      <c r="L9" s="38"/>
      <c r="S9" s="38"/>
      <c r="T9" s="38"/>
    </row>
    <row r="10" spans="1:22" x14ac:dyDescent="0.25">
      <c r="C10" s="38"/>
      <c r="K10" s="38"/>
      <c r="L10" s="38"/>
      <c r="S10" s="38"/>
      <c r="T10" s="38"/>
    </row>
    <row r="11" spans="1:22" x14ac:dyDescent="0.25">
      <c r="C11" s="38"/>
      <c r="K11" s="38"/>
      <c r="L11" s="38"/>
      <c r="S11" s="38"/>
      <c r="T11" s="38"/>
    </row>
    <row r="12" spans="1:22" x14ac:dyDescent="0.25">
      <c r="C12" s="38"/>
      <c r="K12" s="38"/>
      <c r="S12" s="38"/>
      <c r="T12" s="38"/>
    </row>
    <row r="13" spans="1:22" x14ac:dyDescent="0.25">
      <c r="C13" s="38"/>
      <c r="K13" s="38"/>
      <c r="S13" s="38"/>
      <c r="T13" s="38"/>
    </row>
    <row r="14" spans="1:22" x14ac:dyDescent="0.25">
      <c r="C14" s="38"/>
      <c r="K14" s="38"/>
      <c r="S14" s="38"/>
      <c r="T14" s="38"/>
    </row>
    <row r="15" spans="1:22" x14ac:dyDescent="0.25">
      <c r="C15" s="38"/>
      <c r="K15" s="38"/>
      <c r="S15" s="38"/>
      <c r="T15" s="38"/>
    </row>
    <row r="16" spans="1:22" x14ac:dyDescent="0.25">
      <c r="C16" s="38"/>
      <c r="K16" s="38"/>
      <c r="S16" s="38"/>
      <c r="T16" s="38"/>
    </row>
    <row r="17" spans="3:20" x14ac:dyDescent="0.25">
      <c r="C17" s="38"/>
      <c r="K17" s="38"/>
      <c r="S17" s="38"/>
    </row>
    <row r="18" spans="3:20" x14ac:dyDescent="0.25">
      <c r="C18" s="38"/>
      <c r="K18" s="38"/>
      <c r="S18" s="38"/>
    </row>
    <row r="19" spans="3:20" x14ac:dyDescent="0.25">
      <c r="C19" s="38"/>
      <c r="D19" s="38"/>
      <c r="K19" s="38"/>
      <c r="S19" s="38"/>
    </row>
    <row r="20" spans="3:20" x14ac:dyDescent="0.25">
      <c r="C20" s="38"/>
      <c r="D20" s="38"/>
      <c r="K20" s="38"/>
      <c r="S20" s="38"/>
    </row>
    <row r="21" spans="3:20" x14ac:dyDescent="0.25">
      <c r="C21" s="38"/>
      <c r="D21" s="38"/>
      <c r="K21" s="38"/>
      <c r="S21" s="38"/>
    </row>
    <row r="22" spans="3:20" x14ac:dyDescent="0.25">
      <c r="C22" s="38"/>
      <c r="D22" s="38"/>
      <c r="K22" s="38"/>
      <c r="L22" s="38"/>
      <c r="S22" s="38"/>
    </row>
    <row r="23" spans="3:20" x14ac:dyDescent="0.25">
      <c r="C23" s="38"/>
      <c r="D23" s="38"/>
      <c r="K23" s="38"/>
      <c r="L23" s="38"/>
      <c r="S23" s="38"/>
      <c r="T23" s="38"/>
    </row>
    <row r="24" spans="3:20" x14ac:dyDescent="0.25">
      <c r="C24" s="38"/>
      <c r="D24" s="38"/>
      <c r="K24" s="38"/>
      <c r="L24" s="38"/>
      <c r="S24" s="38"/>
      <c r="T24" s="38"/>
    </row>
    <row r="25" spans="3:20" x14ac:dyDescent="0.25">
      <c r="C25" s="38"/>
      <c r="D25" s="38"/>
      <c r="K25" s="38"/>
      <c r="L25" s="38"/>
      <c r="S25" s="38"/>
      <c r="T25" s="38"/>
    </row>
    <row r="26" spans="3:20" x14ac:dyDescent="0.25">
      <c r="C26" s="38"/>
      <c r="D26" s="38"/>
      <c r="K26" s="38"/>
      <c r="L26" s="38"/>
      <c r="S26" s="38"/>
      <c r="T26" s="38"/>
    </row>
    <row r="27" spans="3:20" x14ac:dyDescent="0.25">
      <c r="C27" s="38"/>
      <c r="D27" s="38"/>
      <c r="K27" s="38"/>
      <c r="L27" s="38"/>
      <c r="S27" s="38"/>
      <c r="T27" s="38"/>
    </row>
    <row r="28" spans="3:20" x14ac:dyDescent="0.25">
      <c r="C28" s="38"/>
      <c r="D28" s="38"/>
      <c r="K28" s="38"/>
      <c r="L28" s="38"/>
      <c r="S28" s="38"/>
      <c r="T28" s="38"/>
    </row>
    <row r="29" spans="3:20" x14ac:dyDescent="0.25">
      <c r="C29" s="38"/>
      <c r="D29" s="38"/>
      <c r="K29" s="38"/>
      <c r="L29" s="38"/>
      <c r="S29" s="38"/>
      <c r="T29" s="38"/>
    </row>
    <row r="30" spans="3:20" x14ac:dyDescent="0.25">
      <c r="C30" s="38"/>
      <c r="D30" s="38"/>
      <c r="K30" s="38"/>
      <c r="L30" s="38"/>
      <c r="S30" s="38"/>
      <c r="T30" s="38"/>
    </row>
    <row r="31" spans="3:20" x14ac:dyDescent="0.25">
      <c r="C31" s="38"/>
      <c r="D31" s="38"/>
      <c r="K31" s="38"/>
      <c r="L31" s="38"/>
      <c r="S31" s="38"/>
      <c r="T31" s="38"/>
    </row>
    <row r="32" spans="3:20" x14ac:dyDescent="0.25">
      <c r="C32" s="38"/>
      <c r="D32" s="38"/>
      <c r="S32" s="38"/>
      <c r="T32" s="38"/>
    </row>
    <row r="33" spans="19:20" x14ac:dyDescent="0.25">
      <c r="S33" s="38"/>
      <c r="T33" s="38"/>
    </row>
    <row r="34" spans="19:20" x14ac:dyDescent="0.25">
      <c r="S34" s="38"/>
      <c r="T34" s="38"/>
    </row>
    <row r="35" spans="19:20" x14ac:dyDescent="0.25">
      <c r="S35" s="38"/>
      <c r="T35" s="38"/>
    </row>
    <row r="36" spans="19:20" x14ac:dyDescent="0.25">
      <c r="S36" s="38"/>
      <c r="T36" s="38"/>
    </row>
  </sheetData>
  <mergeCells count="3">
    <mergeCell ref="A2:D2"/>
    <mergeCell ref="H2:M2"/>
    <mergeCell ref="Q2:V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3"/>
  <sheetViews>
    <sheetView showGridLines="0" tabSelected="1" zoomScaleNormal="100" workbookViewId="0">
      <pane ySplit="3" topLeftCell="A7" activePane="bottomLeft" state="frozen"/>
      <selection pane="bottomLeft" activeCell="A4" sqref="A4:D35"/>
    </sheetView>
  </sheetViews>
  <sheetFormatPr defaultColWidth="8.7109375" defaultRowHeight="15" x14ac:dyDescent="0.25"/>
  <cols>
    <col min="1" max="1" width="26" style="36" customWidth="1"/>
    <col min="2" max="2" width="8" style="36" customWidth="1"/>
    <col min="3" max="3" width="22" style="36" customWidth="1"/>
    <col min="4" max="4" width="12" style="36" customWidth="1"/>
    <col min="5" max="5" width="19.7109375" style="36" customWidth="1"/>
    <col min="6" max="6" width="11.5703125" style="36" customWidth="1"/>
    <col min="7" max="7" width="4" style="36" customWidth="1"/>
  </cols>
  <sheetData>
    <row r="1" spans="1:7" ht="27.75" customHeight="1" x14ac:dyDescent="0.25">
      <c r="A1" s="52" t="s">
        <v>91</v>
      </c>
      <c r="B1" s="53"/>
      <c r="C1" s="53"/>
      <c r="D1" s="53"/>
      <c r="E1" s="53"/>
      <c r="F1" s="53"/>
      <c r="G1" s="53"/>
    </row>
    <row r="2" spans="1:7" ht="18" customHeight="1" x14ac:dyDescent="0.25">
      <c r="A2" s="55" t="s">
        <v>92</v>
      </c>
      <c r="B2" s="53"/>
      <c r="C2" s="53"/>
      <c r="D2" s="53"/>
      <c r="E2" s="53"/>
      <c r="F2" s="53"/>
      <c r="G2" s="53"/>
    </row>
    <row r="3" spans="1:7" ht="19.5" customHeight="1" x14ac:dyDescent="0.25">
      <c r="A3" s="2" t="s">
        <v>1</v>
      </c>
      <c r="B3" s="2" t="s">
        <v>89</v>
      </c>
      <c r="C3" s="2" t="s">
        <v>93</v>
      </c>
      <c r="D3" s="2" t="s">
        <v>90</v>
      </c>
      <c r="E3" s="2" t="s">
        <v>2</v>
      </c>
      <c r="F3" s="2" t="s">
        <v>94</v>
      </c>
      <c r="G3" s="2"/>
    </row>
    <row r="4" spans="1:7" ht="15" customHeight="1" x14ac:dyDescent="0.25">
      <c r="C4" s="38"/>
      <c r="D4" s="38"/>
      <c r="E4" s="5" t="str">
        <f>IFERROR(INDEX('Cadastro Corretoras'!$B$3:$B$43,MATCH(A4,'Cadastro Corretoras'!$A$3:$A$43,0)),"— não mapeada")</f>
        <v>— não mapeada</v>
      </c>
      <c r="F4" s="6" t="str">
        <f t="shared" ref="F4:F43" si="0">IF(E4="Estrangeiro","EXT",IF(E4="Institucional","INST",IF(E4="Pessoa Física","PF","OUT")))</f>
        <v>OUT</v>
      </c>
    </row>
    <row r="5" spans="1:7" ht="15" customHeight="1" x14ac:dyDescent="0.25">
      <c r="C5" s="38"/>
      <c r="D5" s="38"/>
      <c r="E5" s="9" t="str">
        <f>IFERROR(INDEX('Cadastro Corretoras'!$B$3:$B$43,MATCH(A5,'Cadastro Corretoras'!$A$3:$A$43,0)),"— não mapeada")</f>
        <v>— não mapeada</v>
      </c>
      <c r="F5" s="6" t="str">
        <f t="shared" si="0"/>
        <v>OUT</v>
      </c>
    </row>
    <row r="6" spans="1:7" ht="15" customHeight="1" x14ac:dyDescent="0.25">
      <c r="C6" s="38"/>
      <c r="D6" s="38"/>
      <c r="E6" s="5" t="str">
        <f>IFERROR(INDEX('Cadastro Corretoras'!$B$3:$B$43,MATCH(A6,'Cadastro Corretoras'!$A$3:$A$43,0)),"— não mapeada")</f>
        <v>— não mapeada</v>
      </c>
      <c r="F6" s="6" t="str">
        <f t="shared" si="0"/>
        <v>OUT</v>
      </c>
    </row>
    <row r="7" spans="1:7" ht="15" customHeight="1" x14ac:dyDescent="0.25">
      <c r="C7" s="38"/>
      <c r="D7" s="38"/>
      <c r="E7" s="9" t="str">
        <f>IFERROR(INDEX('Cadastro Corretoras'!$B$3:$B$43,MATCH(A7,'Cadastro Corretoras'!$A$3:$A$43,0)),"— não mapeada")</f>
        <v>— não mapeada</v>
      </c>
      <c r="F7" s="6" t="str">
        <f t="shared" si="0"/>
        <v>OUT</v>
      </c>
    </row>
    <row r="8" spans="1:7" ht="15" customHeight="1" x14ac:dyDescent="0.25">
      <c r="C8" s="38"/>
      <c r="D8" s="38"/>
      <c r="E8" s="5" t="str">
        <f>IFERROR(INDEX('Cadastro Corretoras'!$B$3:$B$43,MATCH(A8,'Cadastro Corretoras'!$A$3:$A$43,0)),"— não mapeada")</f>
        <v>— não mapeada</v>
      </c>
      <c r="F8" s="6" t="str">
        <f t="shared" si="0"/>
        <v>OUT</v>
      </c>
    </row>
    <row r="9" spans="1:7" ht="15" customHeight="1" x14ac:dyDescent="0.25">
      <c r="C9" s="38"/>
      <c r="D9" s="38"/>
      <c r="E9" s="9" t="str">
        <f>IFERROR(INDEX('Cadastro Corretoras'!$B$3:$B$43,MATCH(A9,'Cadastro Corretoras'!$A$3:$A$43,0)),"— não mapeada")</f>
        <v>— não mapeada</v>
      </c>
      <c r="F9" s="6" t="str">
        <f t="shared" si="0"/>
        <v>OUT</v>
      </c>
    </row>
    <row r="10" spans="1:7" ht="15" customHeight="1" x14ac:dyDescent="0.25">
      <c r="C10" s="38"/>
      <c r="D10" s="38"/>
      <c r="E10" s="5" t="str">
        <f>IFERROR(INDEX('Cadastro Corretoras'!$B$3:$B$43,MATCH(A10,'Cadastro Corretoras'!$A$3:$A$43,0)),"— não mapeada")</f>
        <v>— não mapeada</v>
      </c>
      <c r="F10" s="6" t="str">
        <f t="shared" si="0"/>
        <v>OUT</v>
      </c>
    </row>
    <row r="11" spans="1:7" ht="15" customHeight="1" x14ac:dyDescent="0.25">
      <c r="C11" s="38"/>
      <c r="D11" s="38"/>
      <c r="E11" s="9" t="str">
        <f>IFERROR(INDEX('Cadastro Corretoras'!$B$3:$B$43,MATCH(A11,'Cadastro Corretoras'!$A$3:$A$43,0)),"— não mapeada")</f>
        <v>— não mapeada</v>
      </c>
      <c r="F11" s="6" t="str">
        <f t="shared" si="0"/>
        <v>OUT</v>
      </c>
    </row>
    <row r="12" spans="1:7" ht="15" customHeight="1" x14ac:dyDescent="0.25">
      <c r="C12" s="38"/>
      <c r="D12" s="38"/>
      <c r="E12" s="5" t="str">
        <f>IFERROR(INDEX('Cadastro Corretoras'!$B$3:$B$43,MATCH(A12,'Cadastro Corretoras'!$A$3:$A$43,0)),"— não mapeada")</f>
        <v>— não mapeada</v>
      </c>
      <c r="F12" s="6" t="str">
        <f t="shared" si="0"/>
        <v>OUT</v>
      </c>
    </row>
    <row r="13" spans="1:7" ht="15" customHeight="1" x14ac:dyDescent="0.25">
      <c r="C13" s="38"/>
      <c r="D13" s="38"/>
      <c r="E13" s="9" t="str">
        <f>IFERROR(INDEX('Cadastro Corretoras'!$B$3:$B$43,MATCH(A13,'Cadastro Corretoras'!$A$3:$A$43,0)),"— não mapeada")</f>
        <v>— não mapeada</v>
      </c>
      <c r="F13" s="6" t="str">
        <f t="shared" si="0"/>
        <v>OUT</v>
      </c>
    </row>
    <row r="14" spans="1:7" ht="15" customHeight="1" x14ac:dyDescent="0.25">
      <c r="C14" s="38"/>
      <c r="D14" s="38"/>
      <c r="E14" s="5" t="str">
        <f>IFERROR(INDEX('Cadastro Corretoras'!$B$3:$B$43,MATCH(A14,'Cadastro Corretoras'!$A$3:$A$43,0)),"— não mapeada")</f>
        <v>— não mapeada</v>
      </c>
      <c r="F14" s="6" t="str">
        <f t="shared" si="0"/>
        <v>OUT</v>
      </c>
    </row>
    <row r="15" spans="1:7" ht="15" customHeight="1" x14ac:dyDescent="0.25">
      <c r="C15" s="38"/>
      <c r="D15" s="38"/>
      <c r="E15" s="9" t="str">
        <f>IFERROR(INDEX('Cadastro Corretoras'!$B$3:$B$43,MATCH(A15,'Cadastro Corretoras'!$A$3:$A$43,0)),"— não mapeada")</f>
        <v>— não mapeada</v>
      </c>
      <c r="F15" s="6" t="str">
        <f t="shared" si="0"/>
        <v>OUT</v>
      </c>
    </row>
    <row r="16" spans="1:7" ht="15" customHeight="1" x14ac:dyDescent="0.25">
      <c r="C16" s="38"/>
      <c r="E16" s="5" t="str">
        <f>IFERROR(INDEX('Cadastro Corretoras'!$B$3:$B$43,MATCH(A16,'Cadastro Corretoras'!$A$3:$A$43,0)),"— não mapeada")</f>
        <v>— não mapeada</v>
      </c>
      <c r="F16" s="6" t="str">
        <f t="shared" si="0"/>
        <v>OUT</v>
      </c>
    </row>
    <row r="17" spans="3:6" ht="15" customHeight="1" x14ac:dyDescent="0.25">
      <c r="C17" s="38"/>
      <c r="E17" s="9" t="str">
        <f>IFERROR(INDEX('Cadastro Corretoras'!$B$3:$B$43,MATCH(A17,'Cadastro Corretoras'!$A$3:$A$43,0)),"— não mapeada")</f>
        <v>— não mapeada</v>
      </c>
      <c r="F17" s="6" t="str">
        <f t="shared" si="0"/>
        <v>OUT</v>
      </c>
    </row>
    <row r="18" spans="3:6" ht="15" customHeight="1" x14ac:dyDescent="0.25">
      <c r="C18" s="38"/>
      <c r="E18" s="5" t="str">
        <f>IFERROR(INDEX('Cadastro Corretoras'!$B$3:$B$43,MATCH(A18,'Cadastro Corretoras'!$A$3:$A$43,0)),"— não mapeada")</f>
        <v>— não mapeada</v>
      </c>
      <c r="F18" s="6" t="str">
        <f t="shared" si="0"/>
        <v>OUT</v>
      </c>
    </row>
    <row r="19" spans="3:6" ht="15" customHeight="1" x14ac:dyDescent="0.25">
      <c r="C19" s="38"/>
      <c r="E19" s="9" t="str">
        <f>IFERROR(INDEX('Cadastro Corretoras'!$B$3:$B$43,MATCH(A19,'Cadastro Corretoras'!$A$3:$A$43,0)),"— não mapeada")</f>
        <v>— não mapeada</v>
      </c>
      <c r="F19" s="6" t="str">
        <f t="shared" si="0"/>
        <v>OUT</v>
      </c>
    </row>
    <row r="20" spans="3:6" ht="15" customHeight="1" x14ac:dyDescent="0.25">
      <c r="C20" s="38"/>
      <c r="E20" s="5" t="str">
        <f>IFERROR(INDEX('Cadastro Corretoras'!$B$3:$B$43,MATCH(A20,'Cadastro Corretoras'!$A$3:$A$43,0)),"— não mapeada")</f>
        <v>— não mapeada</v>
      </c>
      <c r="F20" s="6" t="str">
        <f t="shared" si="0"/>
        <v>OUT</v>
      </c>
    </row>
    <row r="21" spans="3:6" ht="15" customHeight="1" x14ac:dyDescent="0.25">
      <c r="C21" s="38"/>
      <c r="E21" s="9" t="str">
        <f>IFERROR(INDEX('Cadastro Corretoras'!$B$3:$B$43,MATCH(A21,'Cadastro Corretoras'!$A$3:$A$43,0)),"— não mapeada")</f>
        <v>— não mapeada</v>
      </c>
      <c r="F21" s="6" t="str">
        <f t="shared" si="0"/>
        <v>OUT</v>
      </c>
    </row>
    <row r="22" spans="3:6" ht="15" customHeight="1" x14ac:dyDescent="0.25">
      <c r="C22" s="38"/>
      <c r="D22" s="38"/>
      <c r="E22" s="5" t="str">
        <f>IFERROR(INDEX('Cadastro Corretoras'!$B$3:$B$43,MATCH(A22,'Cadastro Corretoras'!$A$3:$A$43,0)),"— não mapeada")</f>
        <v>— não mapeada</v>
      </c>
      <c r="F22" s="6" t="str">
        <f t="shared" si="0"/>
        <v>OUT</v>
      </c>
    </row>
    <row r="23" spans="3:6" ht="15" customHeight="1" x14ac:dyDescent="0.25">
      <c r="C23" s="38"/>
      <c r="D23" s="38"/>
      <c r="E23" s="9" t="str">
        <f>IFERROR(INDEX('Cadastro Corretoras'!$B$3:$B$43,MATCH(A23,'Cadastro Corretoras'!$A$3:$A$43,0)),"— não mapeada")</f>
        <v>— não mapeada</v>
      </c>
      <c r="F23" s="6" t="str">
        <f t="shared" si="0"/>
        <v>OUT</v>
      </c>
    </row>
    <row r="24" spans="3:6" ht="15" customHeight="1" x14ac:dyDescent="0.25">
      <c r="C24" s="38"/>
      <c r="D24" s="38"/>
      <c r="E24" s="5" t="str">
        <f>IFERROR(INDEX('Cadastro Corretoras'!$B$3:$B$43,MATCH(A24,'Cadastro Corretoras'!$A$3:$A$43,0)),"— não mapeada")</f>
        <v>— não mapeada</v>
      </c>
      <c r="F24" s="6" t="str">
        <f t="shared" si="0"/>
        <v>OUT</v>
      </c>
    </row>
    <row r="25" spans="3:6" ht="15" customHeight="1" x14ac:dyDescent="0.25">
      <c r="C25" s="38"/>
      <c r="D25" s="38"/>
      <c r="E25" s="9" t="str">
        <f>IFERROR(INDEX('Cadastro Corretoras'!$B$3:$B$43,MATCH(A25,'Cadastro Corretoras'!$A$3:$A$43,0)),"— não mapeada")</f>
        <v>— não mapeada</v>
      </c>
      <c r="F25" s="6" t="str">
        <f t="shared" si="0"/>
        <v>OUT</v>
      </c>
    </row>
    <row r="26" spans="3:6" ht="15" customHeight="1" x14ac:dyDescent="0.25">
      <c r="C26" s="38"/>
      <c r="D26" s="38"/>
      <c r="E26" s="5" t="str">
        <f>IFERROR(INDEX('Cadastro Corretoras'!$B$3:$B$43,MATCH(A26,'Cadastro Corretoras'!$A$3:$A$43,0)),"— não mapeada")</f>
        <v>— não mapeada</v>
      </c>
      <c r="F26" s="6" t="str">
        <f t="shared" si="0"/>
        <v>OUT</v>
      </c>
    </row>
    <row r="27" spans="3:6" ht="15" customHeight="1" x14ac:dyDescent="0.25">
      <c r="C27" s="38"/>
      <c r="D27" s="38"/>
      <c r="E27" s="9" t="str">
        <f>IFERROR(INDEX('Cadastro Corretoras'!$B$3:$B$43,MATCH(A27,'Cadastro Corretoras'!$A$3:$A$43,0)),"— não mapeada")</f>
        <v>— não mapeada</v>
      </c>
      <c r="F27" s="6" t="str">
        <f t="shared" si="0"/>
        <v>OUT</v>
      </c>
    </row>
    <row r="28" spans="3:6" ht="15" customHeight="1" x14ac:dyDescent="0.25">
      <c r="C28" s="38"/>
      <c r="D28" s="38"/>
      <c r="E28" s="5" t="str">
        <f>IFERROR(INDEX('Cadastro Corretoras'!$B$3:$B$43,MATCH(A28,'Cadastro Corretoras'!$A$3:$A$43,0)),"— não mapeada")</f>
        <v>— não mapeada</v>
      </c>
      <c r="F28" s="6" t="str">
        <f t="shared" si="0"/>
        <v>OUT</v>
      </c>
    </row>
    <row r="29" spans="3:6" ht="15" customHeight="1" x14ac:dyDescent="0.25">
      <c r="C29" s="38"/>
      <c r="D29" s="38"/>
      <c r="E29" s="9" t="str">
        <f>IFERROR(INDEX('Cadastro Corretoras'!$B$3:$B$43,MATCH(A29,'Cadastro Corretoras'!$A$3:$A$43,0)),"— não mapeada")</f>
        <v>— não mapeada</v>
      </c>
      <c r="F29" s="6" t="str">
        <f t="shared" si="0"/>
        <v>OUT</v>
      </c>
    </row>
    <row r="30" spans="3:6" ht="15" customHeight="1" x14ac:dyDescent="0.25">
      <c r="C30" s="38"/>
      <c r="D30" s="38"/>
      <c r="E30" s="5" t="str">
        <f>IFERROR(INDEX('Cadastro Corretoras'!$B$3:$B$43,MATCH(A30,'Cadastro Corretoras'!$A$3:$A$43,0)),"— não mapeada")</f>
        <v>— não mapeada</v>
      </c>
      <c r="F30" s="6" t="str">
        <f t="shared" si="0"/>
        <v>OUT</v>
      </c>
    </row>
    <row r="31" spans="3:6" ht="15" customHeight="1" x14ac:dyDescent="0.25">
      <c r="C31" s="38"/>
      <c r="D31" s="38"/>
      <c r="E31" s="9" t="str">
        <f>IFERROR(INDEX('Cadastro Corretoras'!$B$3:$B$43,MATCH(A31,'Cadastro Corretoras'!$A$3:$A$43,0)),"— não mapeada")</f>
        <v>— não mapeada</v>
      </c>
      <c r="F31" s="6" t="str">
        <f t="shared" si="0"/>
        <v>OUT</v>
      </c>
    </row>
    <row r="32" spans="3:6" ht="15" customHeight="1" x14ac:dyDescent="0.25">
      <c r="C32" s="38"/>
      <c r="D32" s="38"/>
      <c r="E32" s="5" t="str">
        <f>IFERROR(INDEX('Cadastro Corretoras'!$B$3:$B$43,MATCH(A32,'Cadastro Corretoras'!$A$3:$A$43,0)),"— não mapeada")</f>
        <v>— não mapeada</v>
      </c>
      <c r="F32" s="6" t="str">
        <f t="shared" si="0"/>
        <v>OUT</v>
      </c>
    </row>
    <row r="33" spans="1:6" ht="15" customHeight="1" x14ac:dyDescent="0.25">
      <c r="C33" s="38"/>
      <c r="D33" s="38"/>
      <c r="E33" s="9" t="str">
        <f>IFERROR(INDEX('Cadastro Corretoras'!$B$3:$B$43,MATCH(A33,'Cadastro Corretoras'!$A$3:$A$43,0)),"— não mapeada")</f>
        <v>— não mapeada</v>
      </c>
      <c r="F33" s="6" t="str">
        <f t="shared" si="0"/>
        <v>OUT</v>
      </c>
    </row>
    <row r="34" spans="1:6" ht="15" customHeight="1" x14ac:dyDescent="0.25">
      <c r="C34" s="38"/>
      <c r="D34" s="38"/>
      <c r="E34" s="5" t="str">
        <f>IFERROR(INDEX('Cadastro Corretoras'!$B$3:$B$43,MATCH(A34,'Cadastro Corretoras'!$A$3:$A$43,0)),"— não mapeada")</f>
        <v>— não mapeada</v>
      </c>
      <c r="F34" s="6" t="str">
        <f t="shared" si="0"/>
        <v>OUT</v>
      </c>
    </row>
    <row r="35" spans="1:6" ht="15" customHeight="1" x14ac:dyDescent="0.25">
      <c r="C35" s="38"/>
      <c r="D35" s="38"/>
      <c r="E35" s="9" t="str">
        <f>IFERROR(INDEX('Cadastro Corretoras'!$B$3:$B$43,MATCH(A35,'Cadastro Corretoras'!$A$3:$A$43,0)),"— não mapeada")</f>
        <v>— não mapeada</v>
      </c>
      <c r="F35" s="6" t="str">
        <f t="shared" si="0"/>
        <v>OUT</v>
      </c>
    </row>
    <row r="36" spans="1:6" ht="15" customHeight="1" x14ac:dyDescent="0.25">
      <c r="A36" s="3"/>
      <c r="B36" s="4"/>
      <c r="C36" s="4"/>
      <c r="D36" s="4"/>
      <c r="E36" s="5" t="str">
        <f>IFERROR(INDEX('Cadastro Corretoras'!$B$3:$B$43,MATCH(A36,'Cadastro Corretoras'!$A$3:$A$43,0)),"— não mapeada")</f>
        <v>— não mapeada</v>
      </c>
      <c r="F36" s="6" t="str">
        <f t="shared" si="0"/>
        <v>OUT</v>
      </c>
    </row>
    <row r="37" spans="1:6" ht="15" customHeight="1" x14ac:dyDescent="0.25">
      <c r="A37" s="7"/>
      <c r="B37" s="8"/>
      <c r="C37" s="8"/>
      <c r="D37" s="8"/>
      <c r="E37" s="9" t="str">
        <f>IFERROR(INDEX('Cadastro Corretoras'!$B$3:$B$43,MATCH(A37,'Cadastro Corretoras'!$A$3:$A$43,0)),"— não mapeada")</f>
        <v>— não mapeada</v>
      </c>
      <c r="F37" s="6" t="str">
        <f t="shared" si="0"/>
        <v>OUT</v>
      </c>
    </row>
    <row r="38" spans="1:6" ht="15" customHeight="1" x14ac:dyDescent="0.25">
      <c r="A38" s="3"/>
      <c r="B38" s="4"/>
      <c r="C38" s="4"/>
      <c r="D38" s="4"/>
      <c r="E38" s="5" t="str">
        <f>IFERROR(INDEX('Cadastro Corretoras'!$B$3:$B$43,MATCH(A38,'Cadastro Corretoras'!$A$3:$A$43,0)),"— não mapeada")</f>
        <v>— não mapeada</v>
      </c>
      <c r="F38" s="6" t="str">
        <f t="shared" si="0"/>
        <v>OUT</v>
      </c>
    </row>
    <row r="39" spans="1:6" ht="15" customHeight="1" x14ac:dyDescent="0.25">
      <c r="A39" s="7"/>
      <c r="B39" s="8"/>
      <c r="C39" s="8"/>
      <c r="D39" s="8"/>
      <c r="E39" s="9" t="str">
        <f>IFERROR(INDEX('Cadastro Corretoras'!$B$3:$B$43,MATCH(A39,'Cadastro Corretoras'!$A$3:$A$43,0)),"— não mapeada")</f>
        <v>— não mapeada</v>
      </c>
      <c r="F39" s="6" t="str">
        <f t="shared" si="0"/>
        <v>OUT</v>
      </c>
    </row>
    <row r="40" spans="1:6" ht="15" customHeight="1" x14ac:dyDescent="0.25">
      <c r="A40" s="3"/>
      <c r="B40" s="4"/>
      <c r="C40" s="4"/>
      <c r="D40" s="4"/>
      <c r="E40" s="5" t="str">
        <f>IFERROR(INDEX('Cadastro Corretoras'!$B$3:$B$43,MATCH(A40,'Cadastro Corretoras'!$A$3:$A$43,0)),"— não mapeada")</f>
        <v>— não mapeada</v>
      </c>
      <c r="F40" s="6" t="str">
        <f t="shared" si="0"/>
        <v>OUT</v>
      </c>
    </row>
    <row r="41" spans="1:6" ht="15" customHeight="1" x14ac:dyDescent="0.25">
      <c r="A41" s="7"/>
      <c r="B41" s="8"/>
      <c r="C41" s="8"/>
      <c r="D41" s="8"/>
      <c r="E41" s="9" t="str">
        <f>IFERROR(INDEX('Cadastro Corretoras'!$B$3:$B$43,MATCH(A41,'Cadastro Corretoras'!$A$3:$A$43,0)),"— não mapeada")</f>
        <v>— não mapeada</v>
      </c>
      <c r="F41" s="6" t="str">
        <f t="shared" si="0"/>
        <v>OUT</v>
      </c>
    </row>
    <row r="42" spans="1:6" ht="15" customHeight="1" x14ac:dyDescent="0.25">
      <c r="A42" s="3"/>
      <c r="B42" s="4"/>
      <c r="C42" s="4"/>
      <c r="D42" s="4"/>
      <c r="E42" s="5" t="str">
        <f>IFERROR(INDEX('Cadastro Corretoras'!$B$3:$B$43,MATCH(A42,'Cadastro Corretoras'!$A$3:$A$43,0)),"— não mapeada")</f>
        <v>— não mapeada</v>
      </c>
      <c r="F42" s="6" t="str">
        <f t="shared" si="0"/>
        <v>OUT</v>
      </c>
    </row>
    <row r="43" spans="1:6" ht="15" customHeight="1" x14ac:dyDescent="0.25">
      <c r="A43" s="7"/>
      <c r="B43" s="8"/>
      <c r="C43" s="8"/>
      <c r="D43" s="8"/>
      <c r="E43" s="9" t="str">
        <f>IFERROR(INDEX('Cadastro Corretoras'!$B$3:$B$43,MATCH(A43,'Cadastro Corretoras'!$A$3:$A$43,0)),"— não mapeada")</f>
        <v>— não mapeada</v>
      </c>
      <c r="F43" s="6" t="str">
        <f t="shared" si="0"/>
        <v>OUT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showGridLines="0" zoomScaleNormal="100" workbookViewId="0">
      <selection sqref="A1:F1"/>
    </sheetView>
  </sheetViews>
  <sheetFormatPr defaultColWidth="8.7109375" defaultRowHeight="15" x14ac:dyDescent="0.25"/>
  <cols>
    <col min="1" max="1" width="22" style="36" customWidth="1"/>
    <col min="2" max="4" width="16" style="36" customWidth="1"/>
    <col min="5" max="5" width="14.85546875" style="36" customWidth="1"/>
    <col min="6" max="6" width="12" style="36" customWidth="1"/>
    <col min="7" max="9" width="13" style="36" hidden="1" customWidth="1"/>
  </cols>
  <sheetData>
    <row r="1" spans="1:9" ht="27.75" customHeight="1" x14ac:dyDescent="0.25">
      <c r="A1" s="52" t="s">
        <v>95</v>
      </c>
      <c r="B1" s="53"/>
      <c r="C1" s="53"/>
      <c r="D1" s="53"/>
      <c r="E1" s="53"/>
      <c r="F1" s="53"/>
    </row>
    <row r="2" spans="1:9" ht="19.5" customHeight="1" x14ac:dyDescent="0.25">
      <c r="A2" s="2" t="s">
        <v>2</v>
      </c>
      <c r="B2" s="2" t="s">
        <v>96</v>
      </c>
      <c r="C2" s="2" t="s">
        <v>97</v>
      </c>
      <c r="D2" s="2" t="s">
        <v>98</v>
      </c>
      <c r="E2" s="2" t="s">
        <v>99</v>
      </c>
      <c r="F2" s="2" t="s">
        <v>100</v>
      </c>
      <c r="G2" s="39" t="s">
        <v>101</v>
      </c>
      <c r="H2" s="39" t="s">
        <v>102</v>
      </c>
      <c r="I2" s="39" t="s">
        <v>103</v>
      </c>
    </row>
    <row r="3" spans="1:9" ht="19.5" customHeight="1" x14ac:dyDescent="0.25">
      <c r="A3" s="10" t="s">
        <v>6</v>
      </c>
      <c r="B3" s="40" t="str">
        <f t="shared" ref="B3:D6" si="0">IF(ABS(G3)&gt;=1000000000,"R$ "&amp;TEXT(G3/1000000000,"0.00")&amp;" B",IF(ABS(G3)&gt;=1000000,"R$ "&amp;TEXT(G3/1000000,"0.00")&amp;" M",IF(ABS(G3)&gt;=1000,"R$ "&amp;TEXT(G3/1000,"0.00")&amp;" K","R$ "&amp;TEXT(G3,"#,##0"))))</f>
        <v>R$ ,0</v>
      </c>
      <c r="C3" s="40" t="str">
        <f t="shared" si="0"/>
        <v>R$ ,0</v>
      </c>
      <c r="D3" s="40" t="str">
        <f t="shared" si="0"/>
        <v>R$ ,0</v>
      </c>
      <c r="E3" s="11">
        <f>IFERROR(I3/ABS(SUM($I$3:$I$6)),0)</f>
        <v>0</v>
      </c>
      <c r="F3" s="48" t="str">
        <f>IF(I3&gt;0,"COMPRADO",IF(I3&lt;0,"VENDIDO","NEUTRO"))</f>
        <v>NEUTRO</v>
      </c>
      <c r="G3" s="41">
        <f>SUMPRODUCT(('Entrada de Dados'!F$4:F$43="EXT")*('Entrada de Dados'!C$4:C$43&gt;0)*'Entrada de Dados'!C$4:C$43)</f>
        <v>0</v>
      </c>
      <c r="H3" s="41">
        <f>SUMPRODUCT(('Entrada de Dados'!F$4:F$43="EXT")*('Entrada de Dados'!C$4:C$43&lt;0)*'Entrada de Dados'!C$4:C$43)</f>
        <v>0</v>
      </c>
      <c r="I3" s="41">
        <f>G3+H3</f>
        <v>0</v>
      </c>
    </row>
    <row r="4" spans="1:9" ht="19.5" customHeight="1" x14ac:dyDescent="0.25">
      <c r="A4" s="12" t="s">
        <v>37</v>
      </c>
      <c r="B4" s="42" t="str">
        <f t="shared" si="0"/>
        <v>R$ ,0</v>
      </c>
      <c r="C4" s="42" t="str">
        <f t="shared" si="0"/>
        <v>R$ ,0</v>
      </c>
      <c r="D4" s="42" t="str">
        <f t="shared" si="0"/>
        <v>R$ ,0</v>
      </c>
      <c r="E4" s="13">
        <f>IFERROR(I4/ABS(SUM($I$3:$I$6)),0)</f>
        <v>0</v>
      </c>
      <c r="F4" s="49" t="str">
        <f>IF(I4&gt;0,"COMPRADO",IF(I4&lt;0,"VENDIDO","NEUTRO"))</f>
        <v>NEUTRO</v>
      </c>
      <c r="G4" s="43">
        <f>SUMPRODUCT(('Entrada de Dados'!F$4:F$43="INST")*('Entrada de Dados'!C$4:C$43&gt;0)*'Entrada de Dados'!C$4:C$43)</f>
        <v>0</v>
      </c>
      <c r="H4" s="43">
        <f>SUMPRODUCT(('Entrada de Dados'!F$4:F$43="INST")*('Entrada de Dados'!C$4:C$43&lt;0)*'Entrada de Dados'!C$4:C$43)</f>
        <v>0</v>
      </c>
      <c r="I4" s="43">
        <f>G4+H4</f>
        <v>0</v>
      </c>
    </row>
    <row r="5" spans="1:9" ht="19.5" customHeight="1" x14ac:dyDescent="0.25">
      <c r="A5" s="14" t="s">
        <v>62</v>
      </c>
      <c r="B5" s="44" t="str">
        <f t="shared" si="0"/>
        <v>R$ ,0</v>
      </c>
      <c r="C5" s="44" t="str">
        <f t="shared" si="0"/>
        <v>R$ ,0</v>
      </c>
      <c r="D5" s="44" t="str">
        <f t="shared" si="0"/>
        <v>R$ ,0</v>
      </c>
      <c r="E5" s="15">
        <f>IFERROR(I5/ABS(SUM($I$3:$I$6)),0)</f>
        <v>0</v>
      </c>
      <c r="F5" s="50" t="str">
        <f>IF(I5&gt;0,"COMPRADO",IF(I5&lt;0,"VENDIDO","NEUTRO"))</f>
        <v>NEUTRO</v>
      </c>
      <c r="G5" s="45">
        <f>SUMPRODUCT(('Entrada de Dados'!F$4:F$43="PF")*('Entrada de Dados'!C$4:C$43&gt;0)*'Entrada de Dados'!C$4:C$43)</f>
        <v>0</v>
      </c>
      <c r="H5" s="45">
        <f>SUMPRODUCT(('Entrada de Dados'!F$4:F$43="PF")*('Entrada de Dados'!C$4:C$43&lt;0)*'Entrada de Dados'!C$4:C$43)</f>
        <v>0</v>
      </c>
      <c r="I5" s="45">
        <f>G5+H5</f>
        <v>0</v>
      </c>
    </row>
    <row r="6" spans="1:9" ht="19.5" customHeight="1" x14ac:dyDescent="0.25">
      <c r="A6" s="16" t="s">
        <v>87</v>
      </c>
      <c r="B6" s="46" t="str">
        <f t="shared" si="0"/>
        <v>R$ ,0</v>
      </c>
      <c r="C6" s="46" t="str">
        <f t="shared" si="0"/>
        <v>R$ ,0</v>
      </c>
      <c r="D6" s="46" t="str">
        <f t="shared" si="0"/>
        <v>R$ ,0</v>
      </c>
      <c r="E6" s="17">
        <f>IFERROR(I6/ABS(SUM($I$3:$I$6)),0)</f>
        <v>0</v>
      </c>
      <c r="F6" s="51" t="str">
        <f>IF(I6&gt;0,"COMPRADO",IF(I6&lt;0,"VENDIDO","NEUTRO"))</f>
        <v>NEUTRO</v>
      </c>
      <c r="G6" s="47">
        <f>SUMPRODUCT(('Entrada de Dados'!F$4:F$43="OUT")*('Entrada de Dados'!C$4:C$43&gt;0)*'Entrada de Dados'!C$4:C$43)</f>
        <v>0</v>
      </c>
      <c r="H6" s="47">
        <f>SUMPRODUCT(('Entrada de Dados'!F$4:F$43="OUT")*('Entrada de Dados'!C$4:C$43&lt;0)*'Entrada de Dados'!C$4:C$43)</f>
        <v>0</v>
      </c>
      <c r="I6" s="47">
        <f>G6+H6</f>
        <v>0</v>
      </c>
    </row>
    <row r="7" spans="1:9" ht="19.5" customHeight="1" x14ac:dyDescent="0.25"/>
    <row r="8" spans="1:9" ht="21.75" customHeight="1" x14ac:dyDescent="0.25">
      <c r="A8" s="37" t="s">
        <v>104</v>
      </c>
    </row>
    <row r="10" spans="1:9" ht="15" customHeight="1" x14ac:dyDescent="0.25">
      <c r="A10" s="53"/>
      <c r="B10" s="53"/>
      <c r="C10" s="53"/>
      <c r="D10" s="53"/>
      <c r="E10" s="53"/>
      <c r="F10" s="53"/>
    </row>
  </sheetData>
  <mergeCells count="2">
    <mergeCell ref="A1:F1"/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Cadastro Corretoras</vt:lpstr>
      <vt:lpstr>Dados a ser Importados</vt:lpstr>
      <vt:lpstr>Entrada de Dados</vt:lpstr>
      <vt:lpstr>Resumo por Grupo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Lopes</cp:lastModifiedBy>
  <cp:revision>0</cp:revision>
  <dcterms:created xsi:type="dcterms:W3CDTF">2026-05-23T18:13:08Z</dcterms:created>
  <dcterms:modified xsi:type="dcterms:W3CDTF">2026-05-24T00:43:35Z</dcterms:modified>
  <dc:language>en-US</dc:language>
</cp:coreProperties>
</file>